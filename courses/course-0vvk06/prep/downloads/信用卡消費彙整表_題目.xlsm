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ting_hsia\Downloads\"/>
    </mc:Choice>
  </mc:AlternateContent>
  <xr:revisionPtr revIDLastSave="0" documentId="13_ncr:1_{614C9403-BA12-492A-8B84-03741A0ED380}" xr6:coauthVersionLast="47" xr6:coauthVersionMax="47" xr10:uidLastSave="{00000000-0000-0000-0000-000000000000}"/>
  <bookViews>
    <workbookView xWindow="-108" yWindow="-108" windowWidth="23256" windowHeight="12456" activeTab="1" xr2:uid="{279F863B-9D05-418F-9EA0-E54EDBB2BA46}"/>
  </bookViews>
  <sheets>
    <sheet name="分析儀表板" sheetId="4" r:id="rId1"/>
    <sheet name="總表" sheetId="2" r:id="rId2"/>
  </sheets>
  <definedNames>
    <definedName name="_xlnm._FilterDatabase" localSheetId="1" hidden="1">總表!$A$1:$H$1</definedName>
  </definedName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<sst xmlns="http://schemas.openxmlformats.org/spreadsheetml/2006/main" count="212" uniqueCount="41">
  <si>
    <t>帳單月份</t>
  </si>
  <si>
    <t>帳單銀行</t>
  </si>
  <si>
    <t>刷卡日期</t>
  </si>
  <si>
    <t>入帳起息日</t>
  </si>
  <si>
    <t>消費明細</t>
  </si>
  <si>
    <t>新台幣金額</t>
  </si>
  <si>
    <t>消費地區</t>
  </si>
  <si>
    <t>消費分類</t>
  </si>
  <si>
    <t>列標籤</t>
  </si>
  <si>
    <t>總計</t>
  </si>
  <si>
    <t>消費占比</t>
  </si>
  <si>
    <t>消費金額</t>
  </si>
  <si>
    <t>B銀行</t>
  </si>
  <si>
    <t>王品牛排</t>
  </si>
  <si>
    <t>台灣</t>
  </si>
  <si>
    <t>餐飲</t>
  </si>
  <si>
    <t>日本環球影城</t>
  </si>
  <si>
    <t>日本</t>
  </si>
  <si>
    <t>休閒旅遊</t>
  </si>
  <si>
    <t>中華電信</t>
  </si>
  <si>
    <t>其他</t>
  </si>
  <si>
    <t>Uber Eats</t>
  </si>
  <si>
    <t>foodpanda</t>
  </si>
  <si>
    <t>家樂福量販</t>
  </si>
  <si>
    <t>購物</t>
  </si>
  <si>
    <t>高鐵</t>
  </si>
  <si>
    <t>蝦皮購物</t>
  </si>
  <si>
    <t>momo</t>
  </si>
  <si>
    <t>誠品書店</t>
  </si>
  <si>
    <t>台灣電力公司</t>
  </si>
  <si>
    <t>星巴克</t>
  </si>
  <si>
    <t>屈臣氏</t>
  </si>
  <si>
    <t>鼎泰豐</t>
  </si>
  <si>
    <t>A銀行</t>
  </si>
  <si>
    <t>全聯福利中心</t>
  </si>
  <si>
    <t>餐飲</t>
    <phoneticPr fontId="1" type="noConversion"/>
  </si>
  <si>
    <t>休閒旅遊</t>
    <phoneticPr fontId="1" type="noConversion"/>
  </si>
  <si>
    <t>其他</t>
    <phoneticPr fontId="1" type="noConversion"/>
  </si>
  <si>
    <t>購物</t>
    <phoneticPr fontId="1" type="noConversion"/>
  </si>
  <si>
    <t>交通運輸</t>
  </si>
  <si>
    <t>交通運輸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</si>
</sst>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mm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6" fontId="0" fillId="0" borderId="0" xfId="0" applyNumberFormat="1" applyAlignment="1">
      <alignment horizontal="left" vertical="center"/>
    </xf>
    <xf numFmtId="10" fontId="0" fillId="0" borderId="0" xfId="0" applyNumberFormat="1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3" fillId="0" borderId="0" xfId="1" applyFont="1">
      <alignment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[信用卡消費彙整表_題目.xlsm]分析儀表板!分類分析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消費分類占比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dLbl>
          <c:idx val="0"/>
          <c:layout>
            <c:manualLayout>
              <c:x val="6.2775305260755448E-2"/>
              <c:y val="-0.11923734533183365"/>
            </c:manualLayout>
          </c:layout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/>
      <c:pieChart>
        <c:varyColors val="1"/>
        <c:ser>
          <c:idx val="0"/>
          <c:order val="0"/>
          <c:tx>
            <c:strRef>
              <c:f>分析儀表板!$C$22</c:f>
              <c:strCache>
                <c:ptCount val="1"/>
                <c:pt idx="0">
                  <c:v>消費金額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7F3-4493-90C6-440C3E50AE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7F3-4493-90C6-440C3E50AE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8AEA-4B3D-B5C2-CE7DF0606AE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17F3-4493-90C6-440C3E50AE1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17F3-4493-90C6-440C3E50AE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17F3-4493-90C6-440C3E50AE1C}"/>
              </c:ext>
            </c:extLst>
          </c:dPt>
          <c:dLbls>
            <c:dLbl>
              <c:idx val="2"/>
              <c:layout>
                <c:manualLayout>
                  <c:x val="6.2775305260755448E-2"/>
                  <c:y val="-0.11923734533183365"/>
                </c:manualLayout>
              </c:layout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AEA-4B3D-B5C2-CE7DF0606AEF}"/>
                </c:ext>
              </c:extLst>
            </c:dLbl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分析儀表板!$B$23:$B$28</c:f>
              <c:strCache>
                <c:ptCount val="5"/>
                <c:pt idx="0">
                  <c:v>交通運輸</c:v>
                </c:pt>
                <c:pt idx="1">
                  <c:v>休閒旅遊</c:v>
                </c:pt>
                <c:pt idx="2">
                  <c:v>其他</c:v>
                </c:pt>
                <c:pt idx="3">
                  <c:v>餐飲</c:v>
                </c:pt>
                <c:pt idx="4">
                  <c:v>購物</c:v>
                </c:pt>
              </c:strCache>
            </c:strRef>
          </c:cat>
          <c:val>
            <c:numRef>
              <c:f>分析儀表板!$C$23:$C$28</c:f>
              <c:numCache>
                <c:formatCode>General</c:formatCode>
                <c:ptCount val="5"/>
                <c:pt idx="0">
                  <c:v>1802</c:v>
                </c:pt>
                <c:pt idx="1">
                  <c:v>24102</c:v>
                </c:pt>
                <c:pt idx="2">
                  <c:v>9488</c:v>
                </c:pt>
                <c:pt idx="3">
                  <c:v>9368</c:v>
                </c:pt>
                <c:pt idx="4">
                  <c:v>28833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EA-4B3D-B5C2-CE7DF0606AEF}"/>
            </c:ext>
          </c:extLst>
        </c:ser>
        <c:ser>
          <c:idx val="1"/>
          <c:order val="1"/>
          <c:tx>
            <c:strRef>
              <c:f>分析儀表板!$D$22</c:f>
              <c:strCache>
                <c:ptCount val="1"/>
                <c:pt idx="0">
                  <c:v>消費占比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17F3-4493-90C6-440C3E50AE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17F3-4493-90C6-440C3E50AE1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17F3-4493-90C6-440C3E50AE1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17F3-4493-90C6-440C3E50AE1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17F3-4493-90C6-440C3E50AE1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17F3-4493-90C6-440C3E50AE1C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分析儀表板!$B$23:$B$28</c:f>
              <c:strCache>
                <c:ptCount val="5"/>
                <c:pt idx="0">
                  <c:v>交通運輸</c:v>
                </c:pt>
                <c:pt idx="1">
                  <c:v>休閒旅遊</c:v>
                </c:pt>
                <c:pt idx="2">
                  <c:v>其他</c:v>
                </c:pt>
                <c:pt idx="3">
                  <c:v>餐飲</c:v>
                </c:pt>
                <c:pt idx="4">
                  <c:v>購物</c:v>
                </c:pt>
              </c:strCache>
            </c:strRef>
          </c:cat>
          <c:val>
            <c:numRef>
              <c:f>分析儀表板!$D$23:$D$28</c:f>
              <c:numCache>
                <c:formatCode>0.00%</c:formatCode>
                <c:ptCount val="5"/>
                <c:pt idx="0">
                  <c:v>2.4486024486024487E-2</c:v>
                </c:pt>
                <c:pt idx="1">
                  <c:v>0.32750397456279812</c:v>
                </c:pt>
                <c:pt idx="2">
                  <c:v>0.12892530539589364</c:v>
                </c:pt>
                <c:pt idx="3">
                  <c:v>0.12729471553000965</c:v>
                </c:pt>
                <c:pt idx="4">
                  <c:v>0.39178998002527415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EA-4B3D-B5C2-CE7DF0606AEF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[信用卡消費彙整表_題目.xlsm]分析儀表板!月份分析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TW"/>
              <a:t>月度消費趨勢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title>
    <c:autoTitleDeleted val="0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zh-TW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分析儀表板!$L$22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TW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分析儀表板!$K$23:$K$25</c:f>
              <c:strCache>
                <c:ptCount val="2"/>
                <c:pt idx="0">
                  <c:v>202512</c:v>
                </c:pt>
                <c:pt idx="1">
                  <c:v>202511</c:v>
                </c:pt>
              </c:strCache>
            </c:strRef>
          </c:cat>
          <c:val>
            <c:numRef>
              <c:f>分析儀表板!$L$23:$L$25</c:f>
              <c:numCache>
                <c:formatCode>General</c:formatCode>
                <c:ptCount val="2"/>
                <c:pt idx="0">
                  <c:v>39474</c:v>
                </c:pt>
                <c:pt idx="1">
                  <c:v>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CB-4D69-9E9F-96598522122A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563325920"/>
        <c:axId val="563346080"/>
      </c:barChart>
      <c:catAx>
        <c:axId val="563325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TW"/>
          </a:p>
        </c:txPr>
        <c:crossAx val="563346080"/>
        <c:crosses val="autoZero"/>
        <c:auto val="1"/>
        <c:lblAlgn val="ctr"/>
        <c:lblOffset val="100"/>
        <c:noMultiLvlLbl val="0"/>
      </c:catAx>
      <c:valAx>
        <c:axId val="56334608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633259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TW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TW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10160</xdr:colOff>
      <xdr:row>3</xdr:row>
      <xdr:rowOff>0</xdr:rowOff>
    </xdr:from>
    <xdr:to>
      <xdr:col>9</xdr:col>
      <xdr:colOff>48260</xdr:colOff>
      <xdr:row>20</xdr:row>
      <xdr:rowOff>58420</xdr:rowOff>
    </xdr:to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C6213E98-E6DC-301A-2C91-9B30B2947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2540</xdr:colOff>
      <xdr:row>3</xdr:row>
      <xdr:rowOff>0</xdr:rowOff>
    </xdr:from>
    <xdr:to>
      <xdr:col>18</xdr:col>
      <xdr:colOff>589280</xdr:colOff>
      <xdr:row>20</xdr:row>
      <xdr:rowOff>58420</xdr:rowOff>
    </xdr:to>
    <xdr:graphicFrame macro="">
      <xdr:nvGraphicFramePr>
        <xdr:cNvPr id="3" name="圖表 2">
          <a:extLst>
            <a:ext uri="{FF2B5EF4-FFF2-40B4-BE49-F238E27FC236}">
              <a16:creationId xmlns:a16="http://schemas.microsoft.com/office/drawing/2014/main" id="{52C56131-1C27-469E-2208-1292A58FDC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ng Hsia(夏豪廷)" refreshedDate="46126.651790046293" createdVersion="8" refreshedVersion="8" minRefreshableVersion="3" recordCount="49" xr:uid="{F172435A-F3A1-45CD-BD8E-EC7A2BADDA52}">
  <cacheSource type="worksheet">
    <worksheetSource ref="A1:H1048576" sheet="總表"/>
  </cacheSource>
  <cacheFields count="8">
    <cacheField name="帳單月份" numFmtId="0">
      <sharedItems containsNonDate="0" containsDate="1" containsString="0" containsBlank="1" minDate="2025-11-01T00:00:00" maxDate="2026-06-02T00:00:00" count="9">
        <d v="2025-12-01T00:00:00"/>
        <d v="2025-11-01T00:00:00"/>
        <m/>
        <d v="2026-03-01T00:00:00" u="1"/>
        <d v="2026-01-01T00:00:00" u="1"/>
        <d v="2026-02-01T00:00:00" u="1"/>
        <d v="2026-04-01T00:00:00" u="1"/>
        <d v="2026-06-01T00:00:00" u="1"/>
        <d v="2026-05-01T00:00:00" u="1"/>
      </sharedItems>
    </cacheField>
    <cacheField name="帳單銀行" numFmtId="0">
      <sharedItems containsBlank="1"/>
    </cacheField>
    <cacheField name="刷卡日期" numFmtId="0">
      <sharedItems containsNonDate="0" containsDate="1" containsString="0" containsBlank="1" minDate="2025-11-01T00:00:00" maxDate="2025-12-28T00:00:00"/>
    </cacheField>
    <cacheField name="入帳起息日" numFmtId="0">
      <sharedItems containsNonDate="0" containsDate="1" containsString="0" containsBlank="1" minDate="2025-11-02T00:00:00" maxDate="2025-12-30T00:00:00"/>
    </cacheField>
    <cacheField name="消費明細" numFmtId="0">
      <sharedItems containsBlank="1"/>
    </cacheField>
    <cacheField name="新台幣金額" numFmtId="0">
      <sharedItems containsString="0" containsBlank="1" containsNumber="1" containsInteger="1" minValue="168" maxValue="6693"/>
    </cacheField>
    <cacheField name="消費地區" numFmtId="0">
      <sharedItems containsBlank="1"/>
    </cacheField>
    <cacheField name="消費分類" numFmtId="0">
      <sharedItems containsBlank="1" count="7">
        <s v="餐飲"/>
        <s v="休閒旅遊"/>
        <s v="其他"/>
        <s v="購物"/>
        <s v="交通運輸"/>
        <m/>
        <s v="辦公用品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9">
  <r>
    <x v="0"/>
    <s v="B銀行"/>
    <d v="2025-12-01T00:00:00"/>
    <d v="2025-12-02T00:00:00"/>
    <s v="王品牛排"/>
    <n v="2169"/>
    <s v="台灣"/>
    <x v="0"/>
  </r>
  <r>
    <x v="0"/>
    <s v="B銀行"/>
    <d v="2025-12-05T00:00:00"/>
    <d v="2025-12-06T00:00:00"/>
    <s v="日本環球影城"/>
    <n v="6115"/>
    <s v="日本"/>
    <x v="1"/>
  </r>
  <r>
    <x v="0"/>
    <s v="B銀行"/>
    <d v="2025-12-06T00:00:00"/>
    <d v="2025-12-07T00:00:00"/>
    <s v="中華電信"/>
    <n v="880"/>
    <s v="台灣"/>
    <x v="2"/>
  </r>
  <r>
    <x v="0"/>
    <s v="B銀行"/>
    <d v="2025-12-15T00:00:00"/>
    <d v="2025-12-16T00:00:00"/>
    <s v="Uber Eats"/>
    <n v="394"/>
    <s v="台灣"/>
    <x v="0"/>
  </r>
  <r>
    <x v="0"/>
    <s v="B銀行"/>
    <d v="2025-12-18T00:00:00"/>
    <d v="2025-12-19T00:00:00"/>
    <s v="foodpanda"/>
    <n v="594"/>
    <s v="台灣"/>
    <x v="0"/>
  </r>
  <r>
    <x v="0"/>
    <s v="B銀行"/>
    <d v="2025-12-19T00:00:00"/>
    <d v="2025-12-20T00:00:00"/>
    <s v="家樂福量販"/>
    <n v="1508"/>
    <s v="台灣"/>
    <x v="3"/>
  </r>
  <r>
    <x v="0"/>
    <s v="B銀行"/>
    <d v="2025-12-20T00:00:00"/>
    <d v="2025-12-22T00:00:00"/>
    <s v="Uber Eats"/>
    <n v="513"/>
    <s v="台灣"/>
    <x v="0"/>
  </r>
  <r>
    <x v="0"/>
    <s v="B銀行"/>
    <d v="2025-12-22T00:00:00"/>
    <d v="2025-12-24T00:00:00"/>
    <s v="高鐵"/>
    <n v="1802"/>
    <s v="台灣"/>
    <x v="4"/>
  </r>
  <r>
    <x v="0"/>
    <s v="B銀行"/>
    <d v="2025-12-25T00:00:00"/>
    <d v="2025-12-26T00:00:00"/>
    <s v="蝦皮購物"/>
    <n v="740"/>
    <s v="台灣"/>
    <x v="3"/>
  </r>
  <r>
    <x v="0"/>
    <s v="B銀行"/>
    <d v="2025-12-27T00:00:00"/>
    <d v="2025-12-28T00:00:00"/>
    <s v="momo"/>
    <n v="2478"/>
    <s v="台灣"/>
    <x v="3"/>
  </r>
  <r>
    <x v="0"/>
    <s v="B銀行"/>
    <d v="2025-12-27T00:00:00"/>
    <d v="2025-12-29T00:00:00"/>
    <s v="Uber Eats"/>
    <n v="366"/>
    <s v="台灣"/>
    <x v="0"/>
  </r>
  <r>
    <x v="0"/>
    <s v="B銀行"/>
    <d v="2025-12-27T00:00:00"/>
    <d v="2025-12-28T00:00:00"/>
    <s v="誠品書店"/>
    <n v="733"/>
    <s v="台灣"/>
    <x v="3"/>
  </r>
  <r>
    <x v="1"/>
    <s v="B銀行"/>
    <d v="2025-11-01T00:00:00"/>
    <d v="2025-11-03T00:00:00"/>
    <s v="台灣電力公司"/>
    <n v="1934"/>
    <s v="台灣"/>
    <x v="2"/>
  </r>
  <r>
    <x v="1"/>
    <s v="B銀行"/>
    <d v="2025-11-04T00:00:00"/>
    <d v="2025-11-06T00:00:00"/>
    <s v="星巴克"/>
    <n v="168"/>
    <s v="台灣"/>
    <x v="0"/>
  </r>
  <r>
    <x v="1"/>
    <s v="B銀行"/>
    <d v="2025-11-05T00:00:00"/>
    <d v="2025-11-07T00:00:00"/>
    <s v="家樂福量販"/>
    <n v="1521"/>
    <s v="台灣"/>
    <x v="3"/>
  </r>
  <r>
    <x v="1"/>
    <s v="B銀行"/>
    <d v="2025-11-08T00:00:00"/>
    <d v="2025-11-10T00:00:00"/>
    <s v="蝦皮購物"/>
    <n v="823"/>
    <s v="台灣"/>
    <x v="3"/>
  </r>
  <r>
    <x v="1"/>
    <s v="B銀行"/>
    <d v="2025-11-13T00:00:00"/>
    <d v="2025-11-15T00:00:00"/>
    <s v="momo"/>
    <n v="2370"/>
    <s v="台灣"/>
    <x v="3"/>
  </r>
  <r>
    <x v="1"/>
    <s v="B銀行"/>
    <d v="2025-11-13T00:00:00"/>
    <d v="2025-11-15T00:00:00"/>
    <s v="台灣電力公司"/>
    <n v="1592"/>
    <s v="台灣"/>
    <x v="2"/>
  </r>
  <r>
    <x v="1"/>
    <s v="B銀行"/>
    <d v="2025-11-17T00:00:00"/>
    <d v="2025-11-18T00:00:00"/>
    <s v="屈臣氏"/>
    <n v="438"/>
    <s v="台灣"/>
    <x v="3"/>
  </r>
  <r>
    <x v="1"/>
    <s v="B銀行"/>
    <d v="2025-11-18T00:00:00"/>
    <d v="2025-11-19T00:00:00"/>
    <s v="日本環球影城"/>
    <n v="6693"/>
    <s v="日本"/>
    <x v="1"/>
  </r>
  <r>
    <x v="1"/>
    <s v="B銀行"/>
    <d v="2025-11-19T00:00:00"/>
    <d v="2025-11-21T00:00:00"/>
    <s v="鼎泰豐"/>
    <n v="1294"/>
    <s v="台灣"/>
    <x v="0"/>
  </r>
  <r>
    <x v="1"/>
    <s v="B銀行"/>
    <d v="2025-11-22T00:00:00"/>
    <d v="2025-11-24T00:00:00"/>
    <s v="誠品書店"/>
    <n v="763"/>
    <s v="台灣"/>
    <x v="3"/>
  </r>
  <r>
    <x v="1"/>
    <s v="B銀行"/>
    <d v="2025-11-26T00:00:00"/>
    <d v="2025-11-28T00:00:00"/>
    <s v="中華電信"/>
    <n v="786"/>
    <s v="台灣"/>
    <x v="2"/>
  </r>
  <r>
    <x v="1"/>
    <s v="B銀行"/>
    <d v="2025-11-28T00:00:00"/>
    <d v="2025-11-29T00:00:00"/>
    <s v="momo"/>
    <n v="2730"/>
    <s v="台灣"/>
    <x v="3"/>
  </r>
  <r>
    <x v="0"/>
    <s v="A銀行"/>
    <d v="2025-12-03T00:00:00"/>
    <d v="2025-12-04T00:00:00"/>
    <s v="日本環球影城"/>
    <n v="5534"/>
    <s v="日本"/>
    <x v="1"/>
  </r>
  <r>
    <x v="0"/>
    <s v="A銀行"/>
    <d v="2025-12-04T00:00:00"/>
    <d v="2025-12-06T00:00:00"/>
    <s v="foodpanda"/>
    <n v="577"/>
    <s v="台灣"/>
    <x v="0"/>
  </r>
  <r>
    <x v="0"/>
    <s v="A銀行"/>
    <d v="2025-12-07T00:00:00"/>
    <d v="2025-12-09T00:00:00"/>
    <s v="蝦皮購物"/>
    <n v="930"/>
    <s v="台灣"/>
    <x v="3"/>
  </r>
  <r>
    <x v="0"/>
    <s v="A銀行"/>
    <d v="2025-12-07T00:00:00"/>
    <d v="2025-12-09T00:00:00"/>
    <s v="Uber Eats"/>
    <n v="467"/>
    <s v="台灣"/>
    <x v="0"/>
  </r>
  <r>
    <x v="0"/>
    <s v="A銀行"/>
    <d v="2025-12-09T00:00:00"/>
    <d v="2025-12-10T00:00:00"/>
    <s v="日本環球影城"/>
    <n v="5760"/>
    <s v="日本"/>
    <x v="1"/>
  </r>
  <r>
    <x v="0"/>
    <s v="A銀行"/>
    <d v="2025-12-10T00:00:00"/>
    <d v="2025-12-11T00:00:00"/>
    <s v="屈臣氏"/>
    <n v="376"/>
    <s v="台灣"/>
    <x v="3"/>
  </r>
  <r>
    <x v="0"/>
    <s v="A銀行"/>
    <d v="2025-12-18T00:00:00"/>
    <d v="2025-12-19T00:00:00"/>
    <s v="momo"/>
    <n v="2566"/>
    <s v="台灣"/>
    <x v="3"/>
  </r>
  <r>
    <x v="0"/>
    <s v="A銀行"/>
    <d v="2025-12-21T00:00:00"/>
    <d v="2025-12-22T00:00:00"/>
    <s v="中華電信"/>
    <n v="992"/>
    <s v="台灣"/>
    <x v="2"/>
  </r>
  <r>
    <x v="0"/>
    <s v="A銀行"/>
    <d v="2025-12-25T00:00:00"/>
    <d v="2025-12-26T00:00:00"/>
    <s v="Uber Eats"/>
    <n v="495"/>
    <s v="台灣"/>
    <x v="0"/>
  </r>
  <r>
    <x v="0"/>
    <s v="A銀行"/>
    <d v="2025-12-26T00:00:00"/>
    <d v="2025-12-28T00:00:00"/>
    <s v="星巴克"/>
    <n v="177"/>
    <s v="台灣"/>
    <x v="0"/>
  </r>
  <r>
    <x v="0"/>
    <s v="A銀行"/>
    <d v="2025-12-27T00:00:00"/>
    <d v="2025-12-29T00:00:00"/>
    <s v="中華電信"/>
    <n v="833"/>
    <s v="台灣"/>
    <x v="2"/>
  </r>
  <r>
    <x v="0"/>
    <s v="A銀行"/>
    <d v="2025-12-27T00:00:00"/>
    <d v="2025-12-29T00:00:00"/>
    <s v="momo"/>
    <n v="2475"/>
    <s v="台灣"/>
    <x v="3"/>
  </r>
  <r>
    <x v="1"/>
    <s v="A銀行"/>
    <d v="2025-11-01T00:00:00"/>
    <d v="2025-11-02T00:00:00"/>
    <s v="Uber Eats"/>
    <n v="396"/>
    <s v="台灣"/>
    <x v="0"/>
  </r>
  <r>
    <x v="1"/>
    <s v="A銀行"/>
    <d v="2025-11-04T00:00:00"/>
    <d v="2025-11-06T00:00:00"/>
    <s v="屈臣氏"/>
    <n v="394"/>
    <s v="台灣"/>
    <x v="3"/>
  </r>
  <r>
    <x v="1"/>
    <s v="A銀行"/>
    <d v="2025-11-04T00:00:00"/>
    <d v="2025-11-06T00:00:00"/>
    <s v="家樂福量販"/>
    <n v="1413"/>
    <s v="台灣"/>
    <x v="3"/>
  </r>
  <r>
    <x v="1"/>
    <s v="A銀行"/>
    <d v="2025-11-07T00:00:00"/>
    <d v="2025-11-09T00:00:00"/>
    <s v="家樂福量販"/>
    <n v="1170"/>
    <s v="台灣"/>
    <x v="3"/>
  </r>
  <r>
    <x v="1"/>
    <s v="A銀行"/>
    <d v="2025-11-08T00:00:00"/>
    <d v="2025-11-09T00:00:00"/>
    <s v="momo"/>
    <n v="2838"/>
    <s v="台灣"/>
    <x v="3"/>
  </r>
  <r>
    <x v="1"/>
    <s v="A銀行"/>
    <d v="2025-11-09T00:00:00"/>
    <d v="2025-11-10T00:00:00"/>
    <s v="誠品書店"/>
    <n v="808"/>
    <s v="台灣"/>
    <x v="3"/>
  </r>
  <r>
    <x v="1"/>
    <s v="A銀行"/>
    <d v="2025-11-09T00:00:00"/>
    <d v="2025-11-10T00:00:00"/>
    <s v="蝦皮購物"/>
    <n v="785"/>
    <s v="台灣"/>
    <x v="3"/>
  </r>
  <r>
    <x v="1"/>
    <s v="A銀行"/>
    <d v="2025-11-20T00:00:00"/>
    <d v="2025-11-21T00:00:00"/>
    <s v="台灣電力公司"/>
    <n v="1556"/>
    <s v="台灣"/>
    <x v="2"/>
  </r>
  <r>
    <x v="1"/>
    <s v="A銀行"/>
    <d v="2025-11-21T00:00:00"/>
    <d v="2025-11-22T00:00:00"/>
    <s v="全聯福利中心"/>
    <n v="974"/>
    <s v="台灣"/>
    <x v="3"/>
  </r>
  <r>
    <x v="1"/>
    <s v="A銀行"/>
    <d v="2025-11-21T00:00:00"/>
    <d v="2025-11-23T00:00:00"/>
    <s v="Uber Eats"/>
    <n v="432"/>
    <s v="台灣"/>
    <x v="0"/>
  </r>
  <r>
    <x v="1"/>
    <s v="A銀行"/>
    <d v="2025-11-22T00:00:00"/>
    <d v="2025-11-23T00:00:00"/>
    <s v="中華電信"/>
    <n v="915"/>
    <s v="台灣"/>
    <x v="2"/>
  </r>
  <r>
    <x v="1"/>
    <s v="A銀行"/>
    <d v="2025-11-23T00:00:00"/>
    <d v="2025-11-25T00:00:00"/>
    <s v="鼎泰豐"/>
    <n v="1326"/>
    <s v="台灣"/>
    <x v="0"/>
  </r>
  <r>
    <x v="2"/>
    <m/>
    <m/>
    <m/>
    <m/>
    <m/>
    <m/>
    <x v="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631D37-5F79-4D21-896E-550F387631B0}" name="月份分析" cacheId="0" dataPosition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2">
  <location ref="K22:L25" firstHeaderRow="1" firstDataRow="1" firstDataCol="1"/>
  <pivotFields count="8">
    <pivotField axis="axisRow" numFmtId="176" showAll="0">
      <items count="10">
        <item m="1" x="4"/>
        <item m="1" x="5"/>
        <item m="1" x="3"/>
        <item m="1" x="6"/>
        <item m="1" x="7"/>
        <item m="1" x="8"/>
        <item h="1" x="2"/>
        <item x="0"/>
        <item x="1"/>
        <item t="default"/>
      </items>
    </pivotField>
    <pivotField showAll="0"/>
    <pivotField numFmtId="14" showAll="0"/>
    <pivotField numFmtId="14" showAll="0"/>
    <pivotField showAll="0"/>
    <pivotField dataField="1" showAll="0"/>
    <pivotField showAll="0"/>
    <pivotField showAll="0"/>
  </pivotFields>
  <rowFields count="1">
    <field x="0"/>
  </rowFields>
  <rowItems count="3">
    <i>
      <x v="7"/>
    </i>
    <i>
      <x v="8"/>
    </i>
    <i t="grand">
      <x/>
    </i>
  </rowItems>
  <colItems count="1">
    <i/>
  </colItems>
  <dataFields count="1">
    <dataField name="消費金額" fld="5" baseField="0" baseItem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D55589-5969-4079-91E5-22A0301D6915}" name="分類分析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 chartFormat="6">
  <location ref="B22:D28" firstHeaderRow="0" firstDataRow="1" firstDataCol="1"/>
  <pivotFields count="8">
    <pivotField numFmtId="176" showAll="0"/>
    <pivotField showAll="0"/>
    <pivotField numFmtId="14" showAll="0"/>
    <pivotField numFmtId="14" showAll="0"/>
    <pivotField showAll="0"/>
    <pivotField dataField="1" showAll="0"/>
    <pivotField showAll="0"/>
    <pivotField axis="axisRow" showAll="0">
      <items count="8">
        <item x="4"/>
        <item x="1"/>
        <item x="2"/>
        <item m="1" x="6"/>
        <item x="0"/>
        <item x="3"/>
        <item h="1" x="5"/>
        <item t="default"/>
      </items>
    </pivotField>
  </pivotFields>
  <rowFields count="1">
    <field x="7"/>
  </rowFields>
  <rowItems count="6">
    <i>
      <x/>
    </i>
    <i>
      <x v="1"/>
    </i>
    <i>
      <x v="2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消費金額" fld="5" baseField="7" baseItem="0"/>
    <dataField name="消費占比" fld="5" showDataAs="percentOfTotal" baseField="7" baseItem="0" numFmtId="10"/>
  </dataFields>
  <chartFormats count="1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7" count="1" selected="0">
            <x v="1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7" count="1" selected="0">
            <x v="3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1"/>
          </reference>
          <reference field="7" count="1" selected="0">
            <x v="4"/>
          </reference>
        </references>
      </pivotArea>
    </chartFormat>
    <chartFormat chart="0" format="13">
      <pivotArea type="data" outline="0" fieldPosition="0">
        <references count="2">
          <reference field="4294967294" count="1" selected="0">
            <x v="1"/>
          </reference>
          <reference field="7" count="1" selected="0">
            <x v="5"/>
          </reference>
        </references>
      </pivotArea>
    </chartFormat>
    <chartFormat chart="0" format="14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5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CA434-41FA-4AA0-8795-60AD939D6CBE}">
  <sheetPr codeName="工作表3"/>
  <dimension ref="B2:L28"/>
  <sheetViews>
    <sheetView zoomScale="89" zoomScaleNormal="89" workbookViewId="0">
      <selection activeCell="P24" sqref="P24"/>
    </sheetView>
  </sheetViews>
  <sheetFormatPr defaultRowHeight="16.2" x14ac:dyDescent="0.3"/>
  <cols>
    <col min="1" max="2" width="10.77734375" bestFit="1" customWidth="1"/>
    <col min="3" max="4" width="11" bestFit="1" customWidth="1"/>
    <col min="6" max="6" width="10.77734375" bestFit="1" customWidth="1"/>
    <col min="7" max="7" width="11" bestFit="1" customWidth="1"/>
    <col min="10" max="11" width="10.77734375" bestFit="1" customWidth="1"/>
    <col min="12" max="13" width="11" bestFit="1" customWidth="1"/>
    <col min="14" max="14" width="8.21875" bestFit="1" customWidth="1"/>
  </cols>
  <sheetData>
    <row r="2" spans="9:9" x14ac:dyDescent="0.3">
      <c r="I2" s="8"/>
    </row>
    <row r="22" spans="2:12" x14ac:dyDescent="0.3">
      <c r="B22" s="1" t="s">
        <v>8</v>
      </c>
      <c r="C22" t="s">
        <v>11</v>
      </c>
      <c r="D22" t="s">
        <v>10</v>
      </c>
      <c r="K22" s="1" t="s">
        <v>8</v>
      </c>
      <c r="L22" t="s">
        <v>11</v>
      </c>
    </row>
    <row r="23" spans="2:12" x14ac:dyDescent="0.3">
      <c r="B23" s="2" t="s">
        <v>39</v>
      </c>
      <c r="C23">
        <v>1802</v>
      </c>
      <c r="D23" s="4">
        <v>2.4486024486024487E-2</v>
      </c>
      <c r="K23" s="3">
        <v>45992</v>
      </c>
      <c r="L23">
        <v>39474</v>
      </c>
    </row>
    <row r="24" spans="2:12" x14ac:dyDescent="0.3">
      <c r="B24" s="2" t="s">
        <v>18</v>
      </c>
      <c r="C24">
        <v>24102</v>
      </c>
      <c r="D24" s="4">
        <v>0.32750397456279812</v>
      </c>
      <c r="K24" s="3">
        <v>45962</v>
      </c>
      <c r="L24">
        <v>34119</v>
      </c>
    </row>
    <row r="25" spans="2:12" x14ac:dyDescent="0.3">
      <c r="B25" s="2" t="s">
        <v>20</v>
      </c>
      <c r="C25">
        <v>9488</v>
      </c>
      <c r="D25" s="4">
        <v>0.12892530539589364</v>
      </c>
      <c r="K25" s="3" t="s">
        <v>9</v>
      </c>
      <c r="L25">
        <v>73593</v>
      </c>
    </row>
    <row r="26" spans="2:12" x14ac:dyDescent="0.3">
      <c r="B26" s="2" t="s">
        <v>15</v>
      </c>
      <c r="C26">
        <v>9368</v>
      </c>
      <c r="D26" s="4">
        <v>0.12729471553000965</v>
      </c>
    </row>
    <row r="27" spans="2:12" x14ac:dyDescent="0.3">
      <c r="B27" s="2" t="s">
        <v>24</v>
      </c>
      <c r="C27">
        <v>28833</v>
      </c>
      <c r="D27" s="4">
        <v>0.39178998002527415</v>
      </c>
    </row>
    <row r="28" spans="2:12" x14ac:dyDescent="0.3">
      <c r="B28" s="2" t="s">
        <v>9</v>
      </c>
      <c r="C28">
        <v>73593</v>
      </c>
      <c r="D28" s="4">
        <v>1</v>
      </c>
    </row>
  </sheetData>
  <phoneticPr fontId="1" type="noConversion"/>
  <pageMargins left="0.7" right="0.7" top="0.75" bottom="0.75" header="0.3" footer="0.3"/>
  <headerFooter>
    <oddHeader>&amp;L&amp;"Aptos"&amp;10&amp;K0000FF ASUS_General&amp;1#_x000D_</oddHeader>
    <oddFooter>&amp;L_x000D_&amp;1#&amp;"Aptos"&amp;10&amp;K0000FF ASUS_General</oddFooter>
  </headerFooter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C2DB5-B2B8-4808-A242-DC9DF3123D22}">
  <sheetPr codeName="工作表2"/>
  <dimension ref="A1:H49"/>
  <sheetViews>
    <sheetView tabSelected="1" workbookViewId="0">
      <selection activeCell="F8" sqref="F8"/>
    </sheetView>
  </sheetViews>
  <sheetFormatPr defaultRowHeight="16.2" x14ac:dyDescent="0.3"/>
  <cols>
    <col min="1" max="3" width="12.6640625" bestFit="1" customWidth="1"/>
    <col min="4" max="4" width="15.109375" bestFit="1" customWidth="1"/>
    <col min="5" max="5" width="12.6640625" bestFit="1" customWidth="1"/>
    <col min="6" max="6" width="15.109375" bestFit="1" customWidth="1"/>
    <col min="7" max="8" width="12.6640625" bestFit="1" customWidth="1"/>
  </cols>
  <sheetData>
    <row r="1" spans="1:8" x14ac:dyDescent="0.3">
      <c r="A1" s="7" t="s">
        <v>0</v>
      </c>
      <c r="B1" s="7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</row>
    <row r="2" spans="1:8" x14ac:dyDescent="0.3">
      <c r="A2" s="6">
        <v>45992</v>
      </c>
      <c r="B2" t="s">
        <v>12</v>
      </c>
      <c r="C2" s="5">
        <v>45992</v>
      </c>
      <c r="D2" s="5">
        <v>45993</v>
      </c>
      <c r="E2" t="s">
        <v>13</v>
      </c>
      <c r="F2">
        <v>2169</v>
      </c>
      <c r="G2" t="s">
        <v>14</v>
      </c>
      <c r="H2" t="s">
        <v>35</v>
      </c>
    </row>
    <row r="3" spans="1:8" x14ac:dyDescent="0.3">
      <c r="A3" s="6">
        <v>45992</v>
      </c>
      <c r="B3" t="s">
        <v>12</v>
      </c>
      <c r="C3" s="5">
        <v>45996</v>
      </c>
      <c r="D3" s="5">
        <v>45997</v>
      </c>
      <c r="E3" t="s">
        <v>16</v>
      </c>
      <c r="F3">
        <v>6115</v>
      </c>
      <c r="G3" t="s">
        <v>17</v>
      </c>
      <c r="H3" t="s">
        <v>36</v>
      </c>
    </row>
    <row r="4" spans="1:8" x14ac:dyDescent="0.3">
      <c r="A4" s="6">
        <v>45992</v>
      </c>
      <c r="B4" t="s">
        <v>12</v>
      </c>
      <c r="C4" s="5">
        <v>45997</v>
      </c>
      <c r="D4" s="5">
        <v>45998</v>
      </c>
      <c r="E4" t="s">
        <v>19</v>
      </c>
      <c r="F4">
        <v>880</v>
      </c>
      <c r="G4" t="s">
        <v>14</v>
      </c>
      <c r="H4" t="s">
        <v>37</v>
      </c>
    </row>
    <row r="5" spans="1:8" x14ac:dyDescent="0.3">
      <c r="A5" s="6">
        <v>45992</v>
      </c>
      <c r="B5" t="s">
        <v>12</v>
      </c>
      <c r="C5" s="5">
        <v>46006</v>
      </c>
      <c r="D5" s="5">
        <v>46007</v>
      </c>
      <c r="E5" t="s">
        <v>21</v>
      </c>
      <c r="F5">
        <v>394</v>
      </c>
      <c r="G5" t="s">
        <v>14</v>
      </c>
      <c r="H5" t="s">
        <v>35</v>
      </c>
    </row>
    <row r="6" spans="1:8" x14ac:dyDescent="0.3">
      <c r="A6" s="6">
        <v>45992</v>
      </c>
      <c r="B6" t="s">
        <v>12</v>
      </c>
      <c r="C6" s="5">
        <v>46009</v>
      </c>
      <c r="D6" s="5">
        <v>46010</v>
      </c>
      <c r="E6" t="s">
        <v>22</v>
      </c>
      <c r="F6">
        <v>594</v>
      </c>
      <c r="G6" t="s">
        <v>14</v>
      </c>
      <c r="H6" t="s">
        <v>35</v>
      </c>
    </row>
    <row r="7" spans="1:8" x14ac:dyDescent="0.3">
      <c r="A7" s="6">
        <v>45992</v>
      </c>
      <c r="B7" t="s">
        <v>12</v>
      </c>
      <c r="C7" s="5">
        <v>46010</v>
      </c>
      <c r="D7" s="5">
        <v>46011</v>
      </c>
      <c r="E7" t="s">
        <v>23</v>
      </c>
      <c r="F7">
        <v>1508</v>
      </c>
      <c r="G7" t="s">
        <v>14</v>
      </c>
      <c r="H7" t="s">
        <v>38</v>
      </c>
    </row>
    <row r="8" spans="1:8" x14ac:dyDescent="0.3">
      <c r="A8" s="6">
        <v>45992</v>
      </c>
      <c r="B8" t="s">
        <v>12</v>
      </c>
      <c r="C8" s="5">
        <v>46011</v>
      </c>
      <c r="D8" s="5">
        <v>46013</v>
      </c>
      <c r="E8" t="s">
        <v>21</v>
      </c>
      <c r="F8">
        <v>513</v>
      </c>
      <c r="G8" t="s">
        <v>14</v>
      </c>
      <c r="H8" t="s">
        <v>35</v>
      </c>
    </row>
    <row r="9" spans="1:8" x14ac:dyDescent="0.3">
      <c r="A9" s="6">
        <v>45992</v>
      </c>
      <c r="B9" t="s">
        <v>12</v>
      </c>
      <c r="C9" s="5">
        <v>46013</v>
      </c>
      <c r="D9" s="5">
        <v>46015</v>
      </c>
      <c r="E9" t="s">
        <v>25</v>
      </c>
      <c r="F9">
        <v>1802</v>
      </c>
      <c r="G9" t="s">
        <v>14</v>
      </c>
      <c r="H9" t="s">
        <v>40</v>
      </c>
    </row>
    <row r="10" spans="1:8" x14ac:dyDescent="0.3">
      <c r="A10" s="6">
        <v>45992</v>
      </c>
      <c r="B10" t="s">
        <v>12</v>
      </c>
      <c r="C10" s="5">
        <v>46016</v>
      </c>
      <c r="D10" s="5">
        <v>46017</v>
      </c>
      <c r="E10" t="s">
        <v>26</v>
      </c>
      <c r="F10">
        <v>740</v>
      </c>
      <c r="G10" t="s">
        <v>14</v>
      </c>
      <c r="H10" t="s">
        <v>38</v>
      </c>
    </row>
    <row r="11" spans="1:8" x14ac:dyDescent="0.3">
      <c r="A11" s="6">
        <v>45992</v>
      </c>
      <c r="B11" t="s">
        <v>12</v>
      </c>
      <c r="C11" s="5">
        <v>46018</v>
      </c>
      <c r="D11" s="5">
        <v>46019</v>
      </c>
      <c r="E11" t="s">
        <v>27</v>
      </c>
      <c r="F11">
        <v>2478</v>
      </c>
      <c r="G11" t="s">
        <v>14</v>
      </c>
      <c r="H11" t="s">
        <v>38</v>
      </c>
    </row>
    <row r="12" spans="1:8" x14ac:dyDescent="0.3">
      <c r="A12" s="6">
        <v>45992</v>
      </c>
      <c r="B12" t="s">
        <v>12</v>
      </c>
      <c r="C12" s="5">
        <v>46018</v>
      </c>
      <c r="D12" s="5">
        <v>46020</v>
      </c>
      <c r="E12" t="s">
        <v>21</v>
      </c>
      <c r="F12">
        <v>366</v>
      </c>
      <c r="G12" t="s">
        <v>14</v>
      </c>
      <c r="H12" t="s">
        <v>35</v>
      </c>
    </row>
    <row r="13" spans="1:8" x14ac:dyDescent="0.3">
      <c r="A13" s="6">
        <v>45992</v>
      </c>
      <c r="B13" t="s">
        <v>12</v>
      </c>
      <c r="C13" s="5">
        <v>46018</v>
      </c>
      <c r="D13" s="5">
        <v>46019</v>
      </c>
      <c r="E13" t="s">
        <v>28</v>
      </c>
      <c r="F13">
        <v>733</v>
      </c>
      <c r="G13" t="s">
        <v>14</v>
      </c>
      <c r="H13" t="s">
        <v>38</v>
      </c>
    </row>
    <row r="14" spans="1:8" x14ac:dyDescent="0.3">
      <c r="A14" s="6">
        <v>45962</v>
      </c>
      <c r="B14" t="s">
        <v>12</v>
      </c>
      <c r="C14" s="5">
        <v>45962</v>
      </c>
      <c r="D14" s="5">
        <v>45964</v>
      </c>
      <c r="E14" t="s">
        <v>29</v>
      </c>
      <c r="F14">
        <v>1934</v>
      </c>
      <c r="G14" t="s">
        <v>14</v>
      </c>
      <c r="H14" t="s">
        <v>37</v>
      </c>
    </row>
    <row r="15" spans="1:8" x14ac:dyDescent="0.3">
      <c r="A15" s="6">
        <v>45962</v>
      </c>
      <c r="B15" t="s">
        <v>12</v>
      </c>
      <c r="C15" s="5">
        <v>45965</v>
      </c>
      <c r="D15" s="5">
        <v>45967</v>
      </c>
      <c r="E15" t="s">
        <v>30</v>
      </c>
      <c r="F15">
        <v>168</v>
      </c>
      <c r="G15" t="s">
        <v>14</v>
      </c>
      <c r="H15" t="s">
        <v>35</v>
      </c>
    </row>
    <row r="16" spans="1:8" x14ac:dyDescent="0.3">
      <c r="A16" s="6">
        <v>45962</v>
      </c>
      <c r="B16" t="s">
        <v>12</v>
      </c>
      <c r="C16" s="5">
        <v>45966</v>
      </c>
      <c r="D16" s="5">
        <v>45968</v>
      </c>
      <c r="E16" t="s">
        <v>23</v>
      </c>
      <c r="F16">
        <v>1521</v>
      </c>
      <c r="G16" t="s">
        <v>14</v>
      </c>
      <c r="H16" t="s">
        <v>38</v>
      </c>
    </row>
    <row r="17" spans="1:8" x14ac:dyDescent="0.3">
      <c r="A17" s="6">
        <v>45962</v>
      </c>
      <c r="B17" t="s">
        <v>12</v>
      </c>
      <c r="C17" s="5">
        <v>45969</v>
      </c>
      <c r="D17" s="5">
        <v>45971</v>
      </c>
      <c r="E17" t="s">
        <v>26</v>
      </c>
      <c r="F17">
        <v>823</v>
      </c>
      <c r="G17" t="s">
        <v>14</v>
      </c>
      <c r="H17" t="s">
        <v>38</v>
      </c>
    </row>
    <row r="18" spans="1:8" x14ac:dyDescent="0.3">
      <c r="A18" s="6">
        <v>45962</v>
      </c>
      <c r="B18" t="s">
        <v>12</v>
      </c>
      <c r="C18" s="5">
        <v>45974</v>
      </c>
      <c r="D18" s="5">
        <v>45976</v>
      </c>
      <c r="E18" t="s">
        <v>27</v>
      </c>
      <c r="F18">
        <v>2370</v>
      </c>
      <c r="G18" t="s">
        <v>14</v>
      </c>
      <c r="H18" t="s">
        <v>38</v>
      </c>
    </row>
    <row r="19" spans="1:8" x14ac:dyDescent="0.3">
      <c r="A19" s="6">
        <v>45962</v>
      </c>
      <c r="B19" t="s">
        <v>12</v>
      </c>
      <c r="C19" s="5">
        <v>45974</v>
      </c>
      <c r="D19" s="5">
        <v>45976</v>
      </c>
      <c r="E19" t="s">
        <v>29</v>
      </c>
      <c r="F19">
        <v>1592</v>
      </c>
      <c r="G19" t="s">
        <v>14</v>
      </c>
      <c r="H19" t="s">
        <v>37</v>
      </c>
    </row>
    <row r="20" spans="1:8" x14ac:dyDescent="0.3">
      <c r="A20" s="6">
        <v>45962</v>
      </c>
      <c r="B20" t="s">
        <v>12</v>
      </c>
      <c r="C20" s="5">
        <v>45978</v>
      </c>
      <c r="D20" s="5">
        <v>45979</v>
      </c>
      <c r="E20" t="s">
        <v>31</v>
      </c>
      <c r="F20">
        <v>438</v>
      </c>
      <c r="G20" t="s">
        <v>14</v>
      </c>
      <c r="H20" t="s">
        <v>38</v>
      </c>
    </row>
    <row r="21" spans="1:8" x14ac:dyDescent="0.3">
      <c r="A21" s="6">
        <v>45962</v>
      </c>
      <c r="B21" t="s">
        <v>12</v>
      </c>
      <c r="C21" s="5">
        <v>45979</v>
      </c>
      <c r="D21" s="5">
        <v>45980</v>
      </c>
      <c r="E21" t="s">
        <v>16</v>
      </c>
      <c r="F21">
        <v>6693</v>
      </c>
      <c r="G21" t="s">
        <v>17</v>
      </c>
      <c r="H21" t="s">
        <v>36</v>
      </c>
    </row>
    <row r="22" spans="1:8" x14ac:dyDescent="0.3">
      <c r="A22" s="6">
        <v>45962</v>
      </c>
      <c r="B22" t="s">
        <v>12</v>
      </c>
      <c r="C22" s="5">
        <v>45980</v>
      </c>
      <c r="D22" s="5">
        <v>45982</v>
      </c>
      <c r="E22" t="s">
        <v>32</v>
      </c>
      <c r="F22">
        <v>1294</v>
      </c>
      <c r="G22" t="s">
        <v>14</v>
      </c>
      <c r="H22" t="s">
        <v>35</v>
      </c>
    </row>
    <row r="23" spans="1:8" x14ac:dyDescent="0.3">
      <c r="A23" s="6">
        <v>45962</v>
      </c>
      <c r="B23" t="s">
        <v>12</v>
      </c>
      <c r="C23" s="5">
        <v>45983</v>
      </c>
      <c r="D23" s="5">
        <v>45985</v>
      </c>
      <c r="E23" t="s">
        <v>28</v>
      </c>
      <c r="F23">
        <v>763</v>
      </c>
      <c r="G23" t="s">
        <v>14</v>
      </c>
      <c r="H23" t="s">
        <v>38</v>
      </c>
    </row>
    <row r="24" spans="1:8" x14ac:dyDescent="0.3">
      <c r="A24" s="6">
        <v>45962</v>
      </c>
      <c r="B24" t="s">
        <v>12</v>
      </c>
      <c r="C24" s="5">
        <v>45987</v>
      </c>
      <c r="D24" s="5">
        <v>45989</v>
      </c>
      <c r="E24" t="s">
        <v>19</v>
      </c>
      <c r="F24">
        <v>786</v>
      </c>
      <c r="G24" t="s">
        <v>14</v>
      </c>
      <c r="H24" t="s">
        <v>37</v>
      </c>
    </row>
    <row r="25" spans="1:8" x14ac:dyDescent="0.3">
      <c r="A25" s="6">
        <v>45962</v>
      </c>
      <c r="B25" t="s">
        <v>12</v>
      </c>
      <c r="C25" s="5">
        <v>45989</v>
      </c>
      <c r="D25" s="5">
        <v>45990</v>
      </c>
      <c r="E25" t="s">
        <v>27</v>
      </c>
      <c r="F25">
        <v>2730</v>
      </c>
      <c r="G25" t="s">
        <v>14</v>
      </c>
      <c r="H25" t="s">
        <v>38</v>
      </c>
    </row>
    <row r="26" spans="1:8" x14ac:dyDescent="0.3">
      <c r="A26" s="6">
        <v>45992</v>
      </c>
      <c r="B26" t="s">
        <v>33</v>
      </c>
      <c r="C26" s="5">
        <v>45994</v>
      </c>
      <c r="D26" s="5">
        <v>45995</v>
      </c>
      <c r="E26" t="s">
        <v>16</v>
      </c>
      <c r="F26">
        <v>5534</v>
      </c>
      <c r="G26" t="s">
        <v>17</v>
      </c>
      <c r="H26" t="s">
        <v>36</v>
      </c>
    </row>
    <row r="27" spans="1:8" x14ac:dyDescent="0.3">
      <c r="A27" s="6">
        <v>45992</v>
      </c>
      <c r="B27" t="s">
        <v>33</v>
      </c>
      <c r="C27" s="5">
        <v>45995</v>
      </c>
      <c r="D27" s="5">
        <v>45997</v>
      </c>
      <c r="E27" t="s">
        <v>22</v>
      </c>
      <c r="F27">
        <v>577</v>
      </c>
      <c r="G27" t="s">
        <v>14</v>
      </c>
      <c r="H27" t="s">
        <v>35</v>
      </c>
    </row>
    <row r="28" spans="1:8" x14ac:dyDescent="0.3">
      <c r="A28" s="6">
        <v>45992</v>
      </c>
      <c r="B28" t="s">
        <v>33</v>
      </c>
      <c r="C28" s="5">
        <v>45998</v>
      </c>
      <c r="D28" s="5">
        <v>46000</v>
      </c>
      <c r="E28" t="s">
        <v>26</v>
      </c>
      <c r="F28">
        <v>930</v>
      </c>
      <c r="G28" t="s">
        <v>14</v>
      </c>
      <c r="H28" t="s">
        <v>38</v>
      </c>
    </row>
    <row r="29" spans="1:8" x14ac:dyDescent="0.3">
      <c r="A29" s="6">
        <v>45992</v>
      </c>
      <c r="B29" t="s">
        <v>33</v>
      </c>
      <c r="C29" s="5">
        <v>45998</v>
      </c>
      <c r="D29" s="5">
        <v>46000</v>
      </c>
      <c r="E29" t="s">
        <v>21</v>
      </c>
      <c r="F29">
        <v>467</v>
      </c>
      <c r="G29" t="s">
        <v>14</v>
      </c>
      <c r="H29" t="s">
        <v>35</v>
      </c>
    </row>
    <row r="30" spans="1:8" x14ac:dyDescent="0.3">
      <c r="A30" s="6">
        <v>45992</v>
      </c>
      <c r="B30" t="s">
        <v>33</v>
      </c>
      <c r="C30" s="5">
        <v>46000</v>
      </c>
      <c r="D30" s="5">
        <v>46001</v>
      </c>
      <c r="E30" t="s">
        <v>16</v>
      </c>
      <c r="F30">
        <v>5760</v>
      </c>
      <c r="G30" t="s">
        <v>17</v>
      </c>
      <c r="H30" t="s">
        <v>36</v>
      </c>
    </row>
    <row r="31" spans="1:8" x14ac:dyDescent="0.3">
      <c r="A31" s="6">
        <v>45992</v>
      </c>
      <c r="B31" t="s">
        <v>33</v>
      </c>
      <c r="C31" s="5">
        <v>46001</v>
      </c>
      <c r="D31" s="5">
        <v>46002</v>
      </c>
      <c r="E31" t="s">
        <v>31</v>
      </c>
      <c r="F31">
        <v>376</v>
      </c>
      <c r="G31" t="s">
        <v>14</v>
      </c>
      <c r="H31" t="s">
        <v>38</v>
      </c>
    </row>
    <row r="32" spans="1:8" x14ac:dyDescent="0.3">
      <c r="A32" s="6">
        <v>45992</v>
      </c>
      <c r="B32" t="s">
        <v>33</v>
      </c>
      <c r="C32" s="5">
        <v>46009</v>
      </c>
      <c r="D32" s="5">
        <v>46010</v>
      </c>
      <c r="E32" t="s">
        <v>27</v>
      </c>
      <c r="F32">
        <v>2566</v>
      </c>
      <c r="G32" t="s">
        <v>14</v>
      </c>
      <c r="H32" t="s">
        <v>38</v>
      </c>
    </row>
    <row r="33" spans="1:8" x14ac:dyDescent="0.3">
      <c r="A33" s="6">
        <v>45992</v>
      </c>
      <c r="B33" t="s">
        <v>33</v>
      </c>
      <c r="C33" s="5">
        <v>46012</v>
      </c>
      <c r="D33" s="5">
        <v>46013</v>
      </c>
      <c r="E33" t="s">
        <v>19</v>
      </c>
      <c r="F33">
        <v>992</v>
      </c>
      <c r="G33" t="s">
        <v>14</v>
      </c>
      <c r="H33" t="s">
        <v>37</v>
      </c>
    </row>
    <row r="34" spans="1:8" x14ac:dyDescent="0.3">
      <c r="A34" s="6">
        <v>45992</v>
      </c>
      <c r="B34" t="s">
        <v>33</v>
      </c>
      <c r="C34" s="5">
        <v>46016</v>
      </c>
      <c r="D34" s="5">
        <v>46017</v>
      </c>
      <c r="E34" t="s">
        <v>21</v>
      </c>
      <c r="F34">
        <v>495</v>
      </c>
      <c r="G34" t="s">
        <v>14</v>
      </c>
      <c r="H34" t="s">
        <v>35</v>
      </c>
    </row>
    <row r="35" spans="1:8" x14ac:dyDescent="0.3">
      <c r="A35" s="6">
        <v>45992</v>
      </c>
      <c r="B35" t="s">
        <v>33</v>
      </c>
      <c r="C35" s="5">
        <v>46017</v>
      </c>
      <c r="D35" s="5">
        <v>46019</v>
      </c>
      <c r="E35" t="s">
        <v>30</v>
      </c>
      <c r="F35">
        <v>177</v>
      </c>
      <c r="G35" t="s">
        <v>14</v>
      </c>
      <c r="H35" t="s">
        <v>35</v>
      </c>
    </row>
    <row r="36" spans="1:8" x14ac:dyDescent="0.3">
      <c r="A36" s="6">
        <v>45992</v>
      </c>
      <c r="B36" t="s">
        <v>33</v>
      </c>
      <c r="C36" s="5">
        <v>46018</v>
      </c>
      <c r="D36" s="5">
        <v>46020</v>
      </c>
      <c r="E36" t="s">
        <v>19</v>
      </c>
      <c r="F36">
        <v>833</v>
      </c>
      <c r="G36" t="s">
        <v>14</v>
      </c>
      <c r="H36" t="s">
        <v>37</v>
      </c>
    </row>
    <row r="37" spans="1:8" x14ac:dyDescent="0.3">
      <c r="A37" s="6">
        <v>45992</v>
      </c>
      <c r="B37" t="s">
        <v>33</v>
      </c>
      <c r="C37" s="5">
        <v>46018</v>
      </c>
      <c r="D37" s="5">
        <v>46020</v>
      </c>
      <c r="E37" t="s">
        <v>27</v>
      </c>
      <c r="F37">
        <v>2475</v>
      </c>
      <c r="G37" t="s">
        <v>14</v>
      </c>
      <c r="H37" t="s">
        <v>38</v>
      </c>
    </row>
    <row r="38" spans="1:8" x14ac:dyDescent="0.3">
      <c r="A38" s="6">
        <v>45962</v>
      </c>
      <c r="B38" t="s">
        <v>33</v>
      </c>
      <c r="C38" s="5">
        <v>45962</v>
      </c>
      <c r="D38" s="5">
        <v>45963</v>
      </c>
      <c r="E38" t="s">
        <v>21</v>
      </c>
      <c r="F38">
        <v>396</v>
      </c>
      <c r="G38" t="s">
        <v>14</v>
      </c>
      <c r="H38" t="s">
        <v>35</v>
      </c>
    </row>
    <row r="39" spans="1:8" x14ac:dyDescent="0.3">
      <c r="A39" s="6">
        <v>45962</v>
      </c>
      <c r="B39" t="s">
        <v>33</v>
      </c>
      <c r="C39" s="5">
        <v>45965</v>
      </c>
      <c r="D39" s="5">
        <v>45967</v>
      </c>
      <c r="E39" t="s">
        <v>31</v>
      </c>
      <c r="F39">
        <v>394</v>
      </c>
      <c r="G39" t="s">
        <v>14</v>
      </c>
      <c r="H39" t="s">
        <v>38</v>
      </c>
    </row>
    <row r="40" spans="1:8" x14ac:dyDescent="0.3">
      <c r="A40" s="6">
        <v>45962</v>
      </c>
      <c r="B40" t="s">
        <v>33</v>
      </c>
      <c r="C40" s="5">
        <v>45965</v>
      </c>
      <c r="D40" s="5">
        <v>45967</v>
      </c>
      <c r="E40" t="s">
        <v>23</v>
      </c>
      <c r="F40">
        <v>1413</v>
      </c>
      <c r="G40" t="s">
        <v>14</v>
      </c>
      <c r="H40" t="s">
        <v>38</v>
      </c>
    </row>
    <row r="41" spans="1:8" x14ac:dyDescent="0.3">
      <c r="A41" s="6">
        <v>45962</v>
      </c>
      <c r="B41" t="s">
        <v>33</v>
      </c>
      <c r="C41" s="5">
        <v>45968</v>
      </c>
      <c r="D41" s="5">
        <v>45970</v>
      </c>
      <c r="E41" t="s">
        <v>23</v>
      </c>
      <c r="F41">
        <v>1170</v>
      </c>
      <c r="G41" t="s">
        <v>14</v>
      </c>
      <c r="H41" t="s">
        <v>38</v>
      </c>
    </row>
    <row r="42" spans="1:8" x14ac:dyDescent="0.3">
      <c r="A42" s="6">
        <v>45962</v>
      </c>
      <c r="B42" t="s">
        <v>33</v>
      </c>
      <c r="C42" s="5">
        <v>45969</v>
      </c>
      <c r="D42" s="5">
        <v>45970</v>
      </c>
      <c r="E42" t="s">
        <v>27</v>
      </c>
      <c r="F42">
        <v>2838</v>
      </c>
      <c r="G42" t="s">
        <v>14</v>
      </c>
      <c r="H42" t="s">
        <v>38</v>
      </c>
    </row>
    <row r="43" spans="1:8" x14ac:dyDescent="0.3">
      <c r="A43" s="6">
        <v>45962</v>
      </c>
      <c r="B43" t="s">
        <v>33</v>
      </c>
      <c r="C43" s="5">
        <v>45970</v>
      </c>
      <c r="D43" s="5">
        <v>45971</v>
      </c>
      <c r="E43" t="s">
        <v>28</v>
      </c>
      <c r="F43">
        <v>808</v>
      </c>
      <c r="G43" t="s">
        <v>14</v>
      </c>
      <c r="H43" t="s">
        <v>38</v>
      </c>
    </row>
    <row r="44" spans="1:8" x14ac:dyDescent="0.3">
      <c r="A44" s="6">
        <v>45962</v>
      </c>
      <c r="B44" t="s">
        <v>33</v>
      </c>
      <c r="C44" s="5">
        <v>45970</v>
      </c>
      <c r="D44" s="5">
        <v>45971</v>
      </c>
      <c r="E44" t="s">
        <v>26</v>
      </c>
      <c r="F44">
        <v>785</v>
      </c>
      <c r="G44" t="s">
        <v>14</v>
      </c>
      <c r="H44" t="s">
        <v>38</v>
      </c>
    </row>
    <row r="45" spans="1:8" x14ac:dyDescent="0.3">
      <c r="A45" s="6">
        <v>45962</v>
      </c>
      <c r="B45" t="s">
        <v>33</v>
      </c>
      <c r="C45" s="5">
        <v>45981</v>
      </c>
      <c r="D45" s="5">
        <v>45982</v>
      </c>
      <c r="E45" t="s">
        <v>29</v>
      </c>
      <c r="F45">
        <v>1556</v>
      </c>
      <c r="G45" t="s">
        <v>14</v>
      </c>
      <c r="H45" t="s">
        <v>37</v>
      </c>
    </row>
    <row r="46" spans="1:8" x14ac:dyDescent="0.3">
      <c r="A46" s="6">
        <v>45962</v>
      </c>
      <c r="B46" t="s">
        <v>33</v>
      </c>
      <c r="C46" s="5">
        <v>45982</v>
      </c>
      <c r="D46" s="5">
        <v>45983</v>
      </c>
      <c r="E46" t="s">
        <v>34</v>
      </c>
      <c r="F46">
        <v>974</v>
      </c>
      <c r="G46" t="s">
        <v>14</v>
      </c>
      <c r="H46" t="s">
        <v>38</v>
      </c>
    </row>
    <row r="47" spans="1:8" x14ac:dyDescent="0.3">
      <c r="A47" s="6">
        <v>45962</v>
      </c>
      <c r="B47" t="s">
        <v>33</v>
      </c>
      <c r="C47" s="5">
        <v>45982</v>
      </c>
      <c r="D47" s="5">
        <v>45984</v>
      </c>
      <c r="E47" t="s">
        <v>21</v>
      </c>
      <c r="F47">
        <v>432</v>
      </c>
      <c r="G47" t="s">
        <v>14</v>
      </c>
      <c r="H47" t="s">
        <v>35</v>
      </c>
    </row>
    <row r="48" spans="1:8" x14ac:dyDescent="0.3">
      <c r="A48" s="6">
        <v>45962</v>
      </c>
      <c r="B48" t="s">
        <v>33</v>
      </c>
      <c r="C48" s="5">
        <v>45983</v>
      </c>
      <c r="D48" s="5">
        <v>45984</v>
      </c>
      <c r="E48" t="s">
        <v>19</v>
      </c>
      <c r="F48">
        <v>915</v>
      </c>
      <c r="G48" t="s">
        <v>14</v>
      </c>
      <c r="H48" t="s">
        <v>37</v>
      </c>
    </row>
    <row r="49" spans="1:8" x14ac:dyDescent="0.3">
      <c r="A49" s="6">
        <v>45962</v>
      </c>
      <c r="B49" t="s">
        <v>33</v>
      </c>
      <c r="C49" s="5">
        <v>45984</v>
      </c>
      <c r="D49" s="5">
        <v>45986</v>
      </c>
      <c r="E49" t="s">
        <v>32</v>
      </c>
      <c r="F49">
        <v>1326</v>
      </c>
      <c r="G49" t="s">
        <v>14</v>
      </c>
      <c r="H49" t="s">
        <v>35</v>
      </c>
    </row>
  </sheetData>
  <autoFilter ref="A1:H1" xr:uid="{821C2DB5-B2B8-4808-A242-DC9DF3123D22}"/>
  <phoneticPr fontId="1" type="noConversion"/>
  <pageMargins left="0.7" right="0.7" top="0.75" bottom="0.75" header="0.3" footer="0.3"/>
  <headerFooter>
    <oddHeader>&amp;L&amp;"Aptos"&amp;10&amp;K0000FF ASUS_General&amp;1#_x000D_</oddHeader>
    <oddFooter>&amp;L_x000D_&amp;1#&amp;"Aptos"&amp;10&amp;K0000FF ASUS_General</oddFooter>
  </headerFooter>
</worksheet>
</file>

<file path=docMetadata/LabelInfo.xml><?xml version="1.0" encoding="utf-8"?>
<clbl:labelList xmlns:clbl="http://schemas.microsoft.com/office/2020/mipLabelMetadata">
  <clbl:label id="{a5fa89a6-cdb7-447e-847e-79926e662cff}" enabled="1" method="Standard" siteId="{301f59c4-c269-4a66-8a8c-f5daab211fa3}" contentBits="3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分析儀表板</vt:lpstr>
      <vt:lpstr>總表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Ting Hsia(夏豪廷)</dc:creator>
  <cp:lastModifiedBy>Ting Hsia(夏豪廷)</cp:lastModifiedBy>
  <dcterms:created xsi:type="dcterms:W3CDTF">2026-04-14T03:04:56Z</dcterms:created>
  <dcterms:modified xsi:type="dcterms:W3CDTF">2026-06-25T05:34:14Z</dcterms:modified>
</cp:coreProperties>
</file>